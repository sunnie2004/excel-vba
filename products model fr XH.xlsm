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a\Documents\"/>
    </mc:Choice>
  </mc:AlternateContent>
  <bookViews>
    <workbookView xWindow="0" yWindow="0" windowWidth="28800" windowHeight="11835"/>
  </bookViews>
  <sheets>
    <sheet name="products sale" sheetId="1" r:id="rId1"/>
    <sheet name="products" sheetId="3" r:id="rId2"/>
    <sheet name="customers" sheetId="4" r:id="rId3"/>
    <sheet name="charts" sheetId="5" r:id="rId4"/>
    <sheet name="practice" sheetId="2" r:id="rId5"/>
  </sheets>
  <calcPr calcId="152511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I9" i="1"/>
  <c r="H9" i="1"/>
  <c r="D9" i="1"/>
  <c r="C9" i="1"/>
  <c r="I8" i="1" l="1"/>
  <c r="H8" i="1"/>
  <c r="D8" i="1"/>
  <c r="F8" i="1" s="1"/>
  <c r="C8" i="1"/>
  <c r="I7" i="1" l="1"/>
  <c r="H7" i="1"/>
  <c r="D7" i="1"/>
  <c r="F7" i="1" s="1"/>
  <c r="C7" i="1"/>
  <c r="C3" i="1"/>
  <c r="C4" i="1"/>
  <c r="C5" i="1"/>
  <c r="C6" i="1"/>
  <c r="C2" i="1"/>
  <c r="D3" i="1"/>
  <c r="F3" i="1" s="1"/>
  <c r="D4" i="1"/>
  <c r="F4" i="1" s="1"/>
  <c r="D5" i="1"/>
  <c r="F5" i="1" s="1"/>
  <c r="D6" i="1"/>
  <c r="F6" i="1" s="1"/>
  <c r="D2" i="1"/>
  <c r="F2" i="1" s="1"/>
  <c r="I3" i="1"/>
  <c r="I4" i="1"/>
  <c r="I5" i="1"/>
  <c r="I6" i="1"/>
  <c r="I2" i="1"/>
  <c r="H5" i="1"/>
  <c r="H6" i="1"/>
  <c r="H3" i="1"/>
  <c r="H4" i="1"/>
  <c r="H2" i="1"/>
</calcChain>
</file>

<file path=xl/sharedStrings.xml><?xml version="1.0" encoding="utf-8"?>
<sst xmlns="http://schemas.openxmlformats.org/spreadsheetml/2006/main" count="116" uniqueCount="95">
  <si>
    <t>price/per</t>
  </si>
  <si>
    <t>amount</t>
  </si>
  <si>
    <t>sale price</t>
  </si>
  <si>
    <t>item name</t>
  </si>
  <si>
    <t>customer name</t>
  </si>
  <si>
    <t>address</t>
  </si>
  <si>
    <t>phone</t>
  </si>
  <si>
    <t>date</t>
  </si>
  <si>
    <t>order number</t>
  </si>
  <si>
    <t>Sales</t>
  </si>
  <si>
    <t>Quarter 1</t>
  </si>
  <si>
    <t>Quarter 2</t>
  </si>
  <si>
    <t>Quarter 3</t>
  </si>
  <si>
    <t>March</t>
  </si>
  <si>
    <t>April</t>
  </si>
  <si>
    <t>May</t>
  </si>
  <si>
    <t>Marketing</t>
  </si>
  <si>
    <t>Overhead</t>
  </si>
  <si>
    <t>R&amp;D</t>
  </si>
  <si>
    <t>score</t>
  </si>
  <si>
    <t>result</t>
  </si>
  <si>
    <t>products sale</t>
  </si>
  <si>
    <t>practice</t>
  </si>
  <si>
    <t>1*1=1</t>
  </si>
  <si>
    <t>2*1=2</t>
  </si>
  <si>
    <t>3*1=3</t>
  </si>
  <si>
    <t>4*1=4</t>
  </si>
  <si>
    <t>5*1=5</t>
  </si>
  <si>
    <t>6*1=6</t>
  </si>
  <si>
    <t>7*1=7</t>
  </si>
  <si>
    <t>8*1=8</t>
  </si>
  <si>
    <t>9*1=9</t>
  </si>
  <si>
    <t>2*2=4</t>
  </si>
  <si>
    <t>3*2=6</t>
  </si>
  <si>
    <t>4*2=8</t>
  </si>
  <si>
    <t>5*2=10</t>
  </si>
  <si>
    <t>6*2=12</t>
  </si>
  <si>
    <t>7*2=14</t>
  </si>
  <si>
    <t>8*2=16</t>
  </si>
  <si>
    <t>9*2=18</t>
  </si>
  <si>
    <t>3*3=9</t>
  </si>
  <si>
    <t>4*3=12</t>
  </si>
  <si>
    <t>5*3=15</t>
  </si>
  <si>
    <t>6*3=18</t>
  </si>
  <si>
    <t>7*3=21</t>
  </si>
  <si>
    <t>8*3=24</t>
  </si>
  <si>
    <t>9*3=27</t>
  </si>
  <si>
    <t>4*4=16</t>
  </si>
  <si>
    <t>5*4=20</t>
  </si>
  <si>
    <t>6*4=24</t>
  </si>
  <si>
    <t>7*4=28</t>
  </si>
  <si>
    <t>8*4=32</t>
  </si>
  <si>
    <t>9*4=36</t>
  </si>
  <si>
    <t>5*5=25</t>
  </si>
  <si>
    <t>6*5=30</t>
  </si>
  <si>
    <t>7*5=35</t>
  </si>
  <si>
    <t>8*5=40</t>
  </si>
  <si>
    <t>9*5=45</t>
  </si>
  <si>
    <t>6*6=36</t>
  </si>
  <si>
    <t>7*6=42</t>
  </si>
  <si>
    <t>8*6=48</t>
  </si>
  <si>
    <t>9*6=54</t>
  </si>
  <si>
    <t>7*7=49</t>
  </si>
  <si>
    <t>8*7=56</t>
  </si>
  <si>
    <t>9*7=63</t>
  </si>
  <si>
    <t>8*8=64</t>
  </si>
  <si>
    <t>9*8=72</t>
  </si>
  <si>
    <t>9*9=81</t>
  </si>
  <si>
    <t>excellent</t>
  </si>
  <si>
    <t>item number</t>
  </si>
  <si>
    <t>A001</t>
  </si>
  <si>
    <t>A002</t>
  </si>
  <si>
    <t>A003</t>
  </si>
  <si>
    <t>A004</t>
  </si>
  <si>
    <t>A005</t>
  </si>
  <si>
    <t>fry shrimp</t>
  </si>
  <si>
    <t>IN001</t>
  </si>
  <si>
    <t>IN002</t>
  </si>
  <si>
    <t>JOHN SMITH</t>
  </si>
  <si>
    <t>111 LILI DR</t>
  </si>
  <si>
    <t>727-101-0101</t>
  </si>
  <si>
    <t>fry chicken</t>
  </si>
  <si>
    <t>MARY YOUNG</t>
  </si>
  <si>
    <t>221 GOOD WILL</t>
  </si>
  <si>
    <t>817-545-1111</t>
  </si>
  <si>
    <t xml:space="preserve"> address</t>
  </si>
  <si>
    <t>A006</t>
  </si>
  <si>
    <t>john smith</t>
  </si>
  <si>
    <t>A007</t>
  </si>
  <si>
    <t>Row Labels</t>
  </si>
  <si>
    <t>Grand Total</t>
  </si>
  <si>
    <t>Sum of amount</t>
  </si>
  <si>
    <t>Sum of sale price</t>
  </si>
  <si>
    <t>A008</t>
  </si>
  <si>
    <t>mary young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</si>
</sst>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[$-409]dd\-mmm\-yy;@"/>
    <numFmt numFmtId="165" formatCode="[$-409]d\-mmm\-yy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0" fontId="1" fillId="0" borderId="8" xfId="1" applyBorder="1"/>
    <xf numFmtId="0" fontId="2" fillId="0" borderId="2" xfId="1" applyFont="1" applyBorder="1" applyAlignment="1">
      <alignment horizontal="center"/>
    </xf>
    <xf numFmtId="0" fontId="2" fillId="0" borderId="3" xfId="1" applyFont="1" applyBorder="1"/>
    <xf numFmtId="6" fontId="1" fillId="0" borderId="4" xfId="1" applyNumberFormat="1" applyBorder="1"/>
    <xf numFmtId="0" fontId="2" fillId="0" borderId="5" xfId="1" applyFont="1" applyBorder="1"/>
    <xf numFmtId="6" fontId="1" fillId="0" borderId="7" xfId="1" applyNumberFormat="1" applyBorder="1"/>
    <xf numFmtId="6" fontId="1" fillId="0" borderId="6" xfId="1" applyNumberFormat="1" applyBorder="1"/>
    <xf numFmtId="0" fontId="2" fillId="0" borderId="3" xfId="1" applyFont="1" applyBorder="1" applyAlignment="1">
      <alignment horizontal="right"/>
    </xf>
    <xf numFmtId="0" fontId="2" fillId="0" borderId="5" xfId="1" applyFont="1" applyBorder="1" applyAlignment="1">
      <alignment horizontal="right"/>
    </xf>
    <xf numFmtId="0" fontId="1" fillId="0" borderId="8" xfId="1" applyBorder="1"/>
    <xf numFmtId="6" fontId="1" fillId="0" borderId="0" xfId="1" applyNumberFormat="1" applyBorder="1"/>
    <xf numFmtId="0" fontId="2" fillId="0" borderId="2" xfId="1" applyFont="1" applyBorder="1" applyAlignment="1">
      <alignment horizontal="center"/>
    </xf>
    <xf numFmtId="6" fontId="1" fillId="0" borderId="4" xfId="1" applyNumberFormat="1" applyBorder="1"/>
    <xf numFmtId="6" fontId="1" fillId="0" borderId="7" xfId="1" applyNumberFormat="1" applyBorder="1"/>
    <xf numFmtId="0" fontId="2" fillId="0" borderId="1" xfId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[products model fr XH.xlsm]charts!PivotTable2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</a:t>
            </a:r>
          </a:p>
        </c:rich>
      </c:tx>
      <c:layout>
        <c:manualLayout>
          <c:xMode val="edge"/>
          <c:yMode val="edge"/>
          <c:x val="0.24410744021926686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9689608636977057E-2"/>
          <c:y val="5.0925925925925923E-2"/>
          <c:w val="0.934866694294792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charts!$B$3</c:f>
              <c:strCache>
                <c:ptCount val="1"/>
                <c:pt idx="0">
                  <c:v>Sum of amount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charts!$A$4:$A$6</c:f>
              <c:strCache>
                <c:ptCount val="2"/>
                <c:pt idx="0">
                  <c:v>fry chicken</c:v>
                </c:pt>
                <c:pt idx="1">
                  <c:v>fry shrimp</c:v>
                </c:pt>
              </c:strCache>
            </c:strRef>
          </c:cat>
          <c:val>
            <c:numRef>
              <c:f>charts!$B$4:$B$6</c:f>
              <c:numCache>
                <c:formatCode>General</c:formatCode>
                <c:ptCount val="2"/>
                <c:pt idx="0">
                  <c:v>3</c:v>
                </c:pt>
                <c:pt idx="1">
                  <c:v>8</c:v>
                </c:pt>
              </c:numCache>
            </c:numRef>
          </c:val>
        </c:ser>
        <c:ser>
          <c:idx val="1"/>
          <c:order val="1"/>
          <c:tx>
            <c:strRef>
              <c:f>charts!$C$3</c:f>
              <c:strCache>
                <c:ptCount val="1"/>
                <c:pt idx="0">
                  <c:v>Sum of sale price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charts!$A$4:$A$6</c:f>
              <c:strCache>
                <c:ptCount val="2"/>
                <c:pt idx="0">
                  <c:v>fry chicken</c:v>
                </c:pt>
                <c:pt idx="1">
                  <c:v>fry shrimp</c:v>
                </c:pt>
              </c:strCache>
            </c:strRef>
          </c:cat>
          <c:val>
            <c:numRef>
              <c:f>charts!$C$4:$C$6</c:f>
              <c:numCache>
                <c:formatCode>General</c:formatCode>
                <c:ptCount val="2"/>
                <c:pt idx="0">
                  <c:v>45</c:v>
                </c:pt>
                <c:pt idx="1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18077936"/>
        <c:axId val="418077544"/>
      </c:barChart>
      <c:catAx>
        <c:axId val="41807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77544"/>
        <c:crosses val="autoZero"/>
        <c:auto val="1"/>
        <c:lblAlgn val="ctr"/>
        <c:lblOffset val="100"/>
        <c:noMultiLvlLbl val="0"/>
      </c:catAx>
      <c:valAx>
        <c:axId val="418077544"/>
        <c:scaling>
          <c:orientation val="minMax"/>
          <c:max val="180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41807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9113886754343159E-2"/>
          <c:y val="0.24594852726742492"/>
          <c:w val="0.31884694567672356"/>
          <c:h val="0.1099547973170020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products</a:t>
            </a:r>
          </a:p>
        </c:rich>
      </c:tx>
      <c:layout>
        <c:manualLayout>
          <c:xMode val="edge"/>
          <c:yMode val="edge"/>
          <c:x val="0.3101691154585059"/>
          <c:y val="4.5275426529780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2451317296678122"/>
          <c:y val="0.20273973008574109"/>
          <c:w val="0.52462772050400919"/>
          <c:h val="0.53850646159611815"/>
        </c:manualLayout>
      </c:layout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2"/>
              <c:pt idx="0">
                <c:v>fry chicken IN002</c:v>
              </c:pt>
              <c:pt idx="1">
                <c:v>fry shrimp IN001</c:v>
              </c:pt>
            </c:strLit>
          </c:cat>
          <c:val>
            <c:numLit>
              <c:formatCode>General</c:formatCode>
              <c:ptCount val="2"/>
              <c:pt idx="0">
                <c:v>3</c:v>
              </c:pt>
              <c:pt idx="1">
                <c:v>8</c:v>
              </c:pt>
            </c:numLit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01145475372278"/>
          <c:y val="0.72713574110509838"/>
          <c:w val="0.34707903780068722"/>
          <c:h val="0.261025004638306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678258967629052E-2"/>
          <c:y val="0.16431722076407113"/>
          <c:w val="0.87187729658792656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practice!$B$1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practice!$A$2:$A$4</c:f>
              <c:strCache>
                <c:ptCount val="3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</c:strCache>
            </c:strRef>
          </c:cat>
          <c:val>
            <c:numRef>
              <c:f>practice!$B$2:$B$4</c:f>
              <c:numCache>
                <c:formatCode>"$"#,##0_);[Red]\("$"#,##0\)</c:formatCode>
                <c:ptCount val="3"/>
                <c:pt idx="0">
                  <c:v>500</c:v>
                </c:pt>
                <c:pt idx="1">
                  <c:v>550</c:v>
                </c:pt>
                <c:pt idx="2">
                  <c:v>650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075976"/>
        <c:axId val="418076368"/>
      </c:barChart>
      <c:catAx>
        <c:axId val="418075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76368"/>
        <c:crosses val="autoZero"/>
        <c:auto val="1"/>
        <c:lblAlgn val="ctr"/>
        <c:lblOffset val="100"/>
        <c:noMultiLvlLbl val="0"/>
      </c:catAx>
      <c:valAx>
        <c:axId val="41807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7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</a:t>
            </a:r>
            <a:r>
              <a:rPr lang="en-US" baseline="0"/>
              <a:t> March-May</a:t>
            </a:r>
            <a:endParaRPr lang="en-US"/>
          </a:p>
        </c:rich>
      </c:tx>
      <c:layout>
        <c:manualLayout>
          <c:xMode val="edge"/>
          <c:yMode val="edge"/>
          <c:x val="0.3511596675415573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practice!$A$20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practice!$B$20:$D$20</c:f>
              <c:numCache>
                <c:formatCode>"$"#,##0_);[Red]\("$"#,##0\)</c:formatCode>
                <c:ptCount val="3"/>
                <c:pt idx="0">
                  <c:v>350</c:v>
                </c:pt>
                <c:pt idx="1">
                  <c:v>400</c:v>
                </c:pt>
                <c:pt idx="2">
                  <c:v>325</c:v>
                </c:pt>
              </c:numCache>
            </c:numRef>
          </c:val>
        </c:ser>
        <c:ser>
          <c:idx val="1"/>
          <c:order val="1"/>
          <c:tx>
            <c:strRef>
              <c:f>practice!$A$21</c:f>
              <c:strCache>
                <c:ptCount val="1"/>
                <c:pt idx="0">
                  <c:v>Overhead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practice!$B$21:$D$21</c:f>
              <c:numCache>
                <c:formatCode>"$"#,##0_);[Red]\("$"#,##0\)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110</c:v>
                </c:pt>
              </c:numCache>
            </c:numRef>
          </c:val>
        </c:ser>
        <c:ser>
          <c:idx val="2"/>
          <c:order val="2"/>
          <c:tx>
            <c:strRef>
              <c:f>practice!$A$22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practice!$B$22:$D$22</c:f>
              <c:numCache>
                <c:formatCode>"$"#,##0_);[Red]\("$"#,##0\)</c:formatCode>
                <c:ptCount val="3"/>
                <c:pt idx="0">
                  <c:v>500</c:v>
                </c:pt>
                <c:pt idx="1">
                  <c:v>550</c:v>
                </c:pt>
                <c:pt idx="2">
                  <c:v>525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450952"/>
        <c:axId val="400451344"/>
      </c:barChart>
      <c:catAx>
        <c:axId val="40045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51344"/>
        <c:crosses val="autoZero"/>
        <c:auto val="1"/>
        <c:lblAlgn val="ctr"/>
        <c:lblOffset val="100"/>
        <c:noMultiLvlLbl val="0"/>
      </c:catAx>
      <c:valAx>
        <c:axId val="40045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50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Expense March-May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233818897637795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practice!$A$20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practice!$B$20:$D$20</c:f>
              <c:numCache>
                <c:formatCode>"$"#,##0_);[Red]\("$"#,##0\)</c:formatCode>
                <c:ptCount val="3"/>
                <c:pt idx="0">
                  <c:v>350</c:v>
                </c:pt>
                <c:pt idx="1">
                  <c:v>400</c:v>
                </c:pt>
                <c:pt idx="2">
                  <c:v>325</c:v>
                </c:pt>
              </c:numCache>
            </c:numRef>
          </c:val>
        </c:ser>
        <c:ser>
          <c:idx val="1"/>
          <c:order val="1"/>
          <c:tx>
            <c:strRef>
              <c:f>practice!$A$21</c:f>
              <c:strCache>
                <c:ptCount val="1"/>
                <c:pt idx="0">
                  <c:v>Overhead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practice!$B$21:$D$21</c:f>
              <c:numCache>
                <c:formatCode>"$"#,##0_);[Red]\("$"#,##0\)</c:formatCode>
                <c:ptCount val="3"/>
                <c:pt idx="0">
                  <c:v>100</c:v>
                </c:pt>
                <c:pt idx="1">
                  <c:v>100</c:v>
                </c:pt>
                <c:pt idx="2">
                  <c:v>110</c:v>
                </c:pt>
              </c:numCache>
            </c:numRef>
          </c:val>
        </c:ser>
        <c:ser>
          <c:idx val="2"/>
          <c:order val="2"/>
          <c:tx>
            <c:strRef>
              <c:f>practice!$A$22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practice!$B$19:$D$19</c:f>
              <c:strCache>
                <c:ptCount val="3"/>
                <c:pt idx="0">
                  <c:v>March</c:v>
                </c:pt>
                <c:pt idx="1">
                  <c:v>April</c:v>
                </c:pt>
                <c:pt idx="2">
                  <c:v>May</c:v>
                </c:pt>
              </c:strCache>
            </c:strRef>
          </c:cat>
          <c:val>
            <c:numRef>
              <c:f>practice!$B$22:$D$22</c:f>
              <c:numCache>
                <c:formatCode>"$"#,##0_);[Red]\("$"#,##0\)</c:formatCode>
                <c:ptCount val="3"/>
                <c:pt idx="0">
                  <c:v>500</c:v>
                </c:pt>
                <c:pt idx="1">
                  <c:v>550</c:v>
                </c:pt>
                <c:pt idx="2">
                  <c:v>525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829040"/>
        <c:axId val="4827472"/>
      </c:barChart>
      <c:catAx>
        <c:axId val="4829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472"/>
        <c:crosses val="autoZero"/>
        <c:auto val="1"/>
        <c:lblAlgn val="ctr"/>
        <c:lblOffset val="100"/>
        <c:noMultiLvlLbl val="0"/>
      </c:catAx>
      <c:valAx>
        <c:axId val="482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pct40">
      <a:fgClr>
        <a:schemeClr val="bg1"/>
      </a:fgClr>
      <a:bgClr>
        <a:schemeClr val="bg1"/>
      </a:bgClr>
    </a:patt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4</xdr:row>
      <xdr:rowOff>152400</xdr:rowOff>
    </xdr:from>
    <xdr:to>
      <xdr:col>13</xdr:col>
      <xdr:colOff>19050</xdr:colOff>
      <xdr:row>6</xdr:row>
      <xdr:rowOff>123825</xdr:rowOff>
    </xdr:to>
    <xdr:sp macro="[0]!OpenOrder" textlink="">
      <xdr:nvSpPr>
        <xdr:cNvPr id="2" name="Rounded Rectangle 1"/>
        <xdr:cNvSpPr/>
      </xdr:nvSpPr>
      <xdr:spPr>
        <a:xfrm>
          <a:off x="10077450" y="914400"/>
          <a:ext cx="12287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open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order </a:t>
          </a:r>
          <a:r>
            <a:rPr lang="en-US" sz="13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</a:t>
          </a:r>
        </a:p>
      </xdr:txBody>
    </xdr:sp>
    <xdr:clientData/>
  </xdr:twoCellAnchor>
  <xdr:oneCellAnchor>
    <xdr:from>
      <xdr:col>13</xdr:col>
      <xdr:colOff>504825</xdr:colOff>
      <xdr:row>20</xdr:row>
      <xdr:rowOff>95250</xdr:rowOff>
    </xdr:from>
    <xdr:ext cx="184731" cy="264560"/>
    <xdr:sp macro="" textlink="">
      <xdr:nvSpPr>
        <xdr:cNvPr id="3" name="TextBox 2"/>
        <xdr:cNvSpPr txBox="1"/>
      </xdr:nvSpPr>
      <xdr:spPr>
        <a:xfrm>
          <a:off x="12058650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504825</xdr:colOff>
      <xdr:row>40</xdr:row>
      <xdr:rowOff>95250</xdr:rowOff>
    </xdr:from>
    <xdr:ext cx="184731" cy="264560"/>
    <xdr:sp macro="" textlink="">
      <xdr:nvSpPr>
        <xdr:cNvPr id="8" name="TextBox 7"/>
        <xdr:cNvSpPr txBox="1"/>
      </xdr:nvSpPr>
      <xdr:spPr>
        <a:xfrm>
          <a:off x="12058650" y="3524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11</xdr:col>
      <xdr:colOff>9525</xdr:colOff>
      <xdr:row>1</xdr:row>
      <xdr:rowOff>9525</xdr:rowOff>
    </xdr:from>
    <xdr:to>
      <xdr:col>13</xdr:col>
      <xdr:colOff>0</xdr:colOff>
      <xdr:row>3</xdr:row>
      <xdr:rowOff>9525</xdr:rowOff>
    </xdr:to>
    <xdr:sp macro="[0]!Salebutton_Click" textlink="">
      <xdr:nvSpPr>
        <xdr:cNvPr id="16" name="Rounded Rectangle 15"/>
        <xdr:cNvSpPr/>
      </xdr:nvSpPr>
      <xdr:spPr>
        <a:xfrm>
          <a:off x="10077450" y="200025"/>
          <a:ext cx="12096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sale information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7</xdr:row>
      <xdr:rowOff>23812</xdr:rowOff>
    </xdr:from>
    <xdr:to>
      <xdr:col>3</xdr:col>
      <xdr:colOff>38100</xdr:colOff>
      <xdr:row>21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23</xdr:row>
      <xdr:rowOff>161924</xdr:rowOff>
    </xdr:from>
    <xdr:to>
      <xdr:col>2</xdr:col>
      <xdr:colOff>1066800</xdr:colOff>
      <xdr:row>35</xdr:row>
      <xdr:rowOff>190499</xdr:rowOff>
    </xdr:to>
    <xdr:graphicFrame macro="">
      <xdr:nvGraphicFramePr>
        <xdr:cNvPr id="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14287</xdr:rowOff>
    </xdr:from>
    <xdr:to>
      <xdr:col>10</xdr:col>
      <xdr:colOff>304800</xdr:colOff>
      <xdr:row>15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18</xdr:row>
      <xdr:rowOff>23812</xdr:rowOff>
    </xdr:from>
    <xdr:to>
      <xdr:col>12</xdr:col>
      <xdr:colOff>323850</xdr:colOff>
      <xdr:row>32</xdr:row>
      <xdr:rowOff>90487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595312</xdr:colOff>
      <xdr:row>18</xdr:row>
      <xdr:rowOff>14287</xdr:rowOff>
    </xdr:from>
    <xdr:to>
      <xdr:col>21</xdr:col>
      <xdr:colOff>290512</xdr:colOff>
      <xdr:row>32</xdr:row>
      <xdr:rowOff>80962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9525</xdr:colOff>
      <xdr:row>0</xdr:row>
      <xdr:rowOff>9525</xdr:rowOff>
    </xdr:from>
    <xdr:to>
      <xdr:col>15</xdr:col>
      <xdr:colOff>0</xdr:colOff>
      <xdr:row>2</xdr:row>
      <xdr:rowOff>9526</xdr:rowOff>
    </xdr:to>
    <xdr:sp macro="[0]!Module1.GetSheetName" textlink="">
      <xdr:nvSpPr>
        <xdr:cNvPr id="5" name="Rectangle 4"/>
        <xdr:cNvSpPr/>
      </xdr:nvSpPr>
      <xdr:spPr>
        <a:xfrm>
          <a:off x="8010525" y="9525"/>
          <a:ext cx="1209675" cy="3810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 sheet names</a:t>
          </a:r>
        </a:p>
      </xdr:txBody>
    </xdr:sp>
    <xdr:clientData/>
  </xdr:twoCellAnchor>
  <xdr:twoCellAnchor>
    <xdr:from>
      <xdr:col>17</xdr:col>
      <xdr:colOff>1</xdr:colOff>
      <xdr:row>0</xdr:row>
      <xdr:rowOff>0</xdr:rowOff>
    </xdr:from>
    <xdr:to>
      <xdr:col>19</xdr:col>
      <xdr:colOff>1</xdr:colOff>
      <xdr:row>2</xdr:row>
      <xdr:rowOff>19050</xdr:rowOff>
    </xdr:to>
    <xdr:sp macro="[0]!Multiple" textlink="">
      <xdr:nvSpPr>
        <xdr:cNvPr id="6" name="Rounded Rectangle 5"/>
        <xdr:cNvSpPr/>
      </xdr:nvSpPr>
      <xdr:spPr>
        <a:xfrm>
          <a:off x="10439401" y="0"/>
          <a:ext cx="121920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multiple</a:t>
          </a:r>
          <a:r>
            <a:rPr lang="en-US" sz="1100" baseline="0"/>
            <a:t> table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0</xdr:rowOff>
        </xdr:from>
        <xdr:to>
          <xdr:col>15</xdr:col>
          <xdr:colOff>0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score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" refreshedDate="43615.736416319443" createdVersion="5" refreshedVersion="5" minRefreshableVersion="3" recordCount="7">
  <cacheSource type="worksheet">
    <worksheetSource ref="B1:F8" sheet="products sale"/>
  </cacheSource>
  <cacheFields count="5">
    <cacheField name="item name" numFmtId="0">
      <sharedItems count="2">
        <s v="fry shrimp"/>
        <s v="fry chicken"/>
      </sharedItems>
    </cacheField>
    <cacheField name="item number" numFmtId="0">
      <sharedItems/>
    </cacheField>
    <cacheField name="price/per" numFmtId="6">
      <sharedItems containsSemiMixedTypes="0" containsString="0" containsNumber="1" containsInteger="1" minValue="15" maxValue="20"/>
    </cacheField>
    <cacheField name="amount" numFmtId="0">
      <sharedItems containsSemiMixedTypes="0" containsString="0" containsNumber="1" containsInteger="1" minValue="1" maxValue="2"/>
    </cacheField>
    <cacheField name="sale price" numFmtId="6">
      <sharedItems containsSemiMixedTypes="0" containsString="0" containsNumber="1" containsInteger="1" minValue="15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s v="IN001"/>
    <n v="20"/>
    <n v="1"/>
    <n v="20"/>
  </r>
  <r>
    <x v="1"/>
    <s v="IN002"/>
    <n v="15"/>
    <n v="2"/>
    <n v="30"/>
  </r>
  <r>
    <x v="0"/>
    <s v="IN001"/>
    <n v="20"/>
    <n v="2"/>
    <n v="40"/>
  </r>
  <r>
    <x v="0"/>
    <s v="IN001"/>
    <n v="20"/>
    <n v="1"/>
    <n v="20"/>
  </r>
  <r>
    <x v="1"/>
    <s v="IN002"/>
    <n v="15"/>
    <n v="1"/>
    <n v="15"/>
  </r>
  <r>
    <x v="0"/>
    <s v="IN001"/>
    <n v="20"/>
    <n v="2"/>
    <n v="40"/>
  </r>
  <r>
    <x v="0"/>
    <s v="IN001"/>
    <n v="20"/>
    <n v="2"/>
    <n v="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3:C6" firstHeaderRow="0" firstDataRow="1" firstDataCol="1"/>
  <pivotFields count="5">
    <pivotField axis="axisRow" showAll="0">
      <items count="3">
        <item x="1"/>
        <item x="0"/>
        <item t="default"/>
      </items>
    </pivotField>
    <pivotField showAll="0"/>
    <pivotField numFmtId="6" showAll="0"/>
    <pivotField dataField="1" showAll="0"/>
    <pivotField dataField="1" numFmtId="6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3" baseField="0" baseItem="0"/>
    <dataField name="Sum of sale price" fld="4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5"/>
  <sheetViews>
    <sheetView tabSelected="1" workbookViewId="0">
      <selection activeCell="J24" sqref="J24"/>
    </sheetView>
  </sheetViews>
  <sheetFormatPr defaultRowHeight="15" x14ac:dyDescent="0.25"/>
  <cols>
    <col min="1" max="1" width="15" style="1" customWidth="1"/>
    <col min="2" max="3" width="13.42578125" style="1" customWidth="1"/>
    <col min="4" max="4" width="13.5703125" style="1" customWidth="1"/>
    <col min="5" max="5" width="15" style="1" customWidth="1"/>
    <col min="6" max="6" width="12.7109375" style="1" customWidth="1"/>
    <col min="7" max="7" width="16" style="1" customWidth="1"/>
    <col min="8" max="8" width="13.140625" style="1" customWidth="1"/>
    <col min="9" max="9" width="14.5703125" style="1" customWidth="1"/>
    <col min="10" max="10" width="15" style="1" customWidth="1"/>
    <col min="15" max="15" width="13.140625" customWidth="1"/>
    <col min="16" max="16" width="14.5703125" customWidth="1"/>
    <col min="17" max="17" width="13.28515625" customWidth="1"/>
  </cols>
  <sheetData>
    <row r="1" spans="1:19" x14ac:dyDescent="0.25">
      <c r="A1" s="1" t="s">
        <v>8</v>
      </c>
      <c r="B1" s="1" t="s">
        <v>3</v>
      </c>
      <c r="C1" s="1" t="s">
        <v>69</v>
      </c>
      <c r="D1" s="1" t="s">
        <v>0</v>
      </c>
      <c r="E1" s="1" t="s">
        <v>1</v>
      </c>
      <c r="F1" s="1" t="s">
        <v>2</v>
      </c>
      <c r="G1" s="1" t="s">
        <v>4</v>
      </c>
      <c r="H1" s="1" t="s">
        <v>85</v>
      </c>
      <c r="I1" s="1" t="s">
        <v>6</v>
      </c>
      <c r="J1" s="1" t="s">
        <v>7</v>
      </c>
    </row>
    <row r="2" spans="1:19" x14ac:dyDescent="0.25">
      <c r="A2" s="1" t="s">
        <v>70</v>
      </c>
      <c r="B2" s="1" t="s">
        <v>75</v>
      </c>
      <c r="C2" s="1" t="str">
        <f>VLOOKUP('products sale'!B:B,products!$A$2:$B$3,2,0)</f>
        <v>IN001</v>
      </c>
      <c r="D2" s="3">
        <f>VLOOKUP(B:B,products!$A$2:$C$3,3,0)</f>
        <v>20</v>
      </c>
      <c r="E2" s="1">
        <v>1</v>
      </c>
      <c r="F2" s="3">
        <f>D2*E2</f>
        <v>20</v>
      </c>
      <c r="G2" s="1" t="s">
        <v>78</v>
      </c>
      <c r="H2" s="1" t="str">
        <f>VLOOKUP(G:G,customers!$A$2:$B$3,2,1)</f>
        <v>111 LILI DR</v>
      </c>
      <c r="I2" s="1" t="str">
        <f>VLOOKUP(G:G,customers!$A$2:$C$3,3,0)</f>
        <v>727-101-0101</v>
      </c>
      <c r="J2" s="19">
        <v>43103</v>
      </c>
      <c r="M2">
        <v>2</v>
      </c>
    </row>
    <row r="3" spans="1:19" x14ac:dyDescent="0.25">
      <c r="A3" s="1" t="s">
        <v>71</v>
      </c>
      <c r="B3" s="1" t="s">
        <v>81</v>
      </c>
      <c r="C3" s="1" t="str">
        <f>VLOOKUP('products sale'!B:B,products!$A$2:$B$3,2,0)</f>
        <v>IN002</v>
      </c>
      <c r="D3" s="3">
        <f>VLOOKUP(B:B,products!$A$2:$C$3,3,0)</f>
        <v>15</v>
      </c>
      <c r="E3" s="1">
        <v>2</v>
      </c>
      <c r="F3" s="3">
        <f t="shared" ref="F3:F9" si="0">D3*E3</f>
        <v>30</v>
      </c>
      <c r="G3" s="1" t="s">
        <v>82</v>
      </c>
      <c r="H3" s="1" t="str">
        <f>VLOOKUP(G:G,customers!$A$2:$B$3,2,1)</f>
        <v>221 GOOD WILL</v>
      </c>
      <c r="I3" s="1" t="str">
        <f>VLOOKUP(G:G,customers!$A$2:$C$3,3,0)</f>
        <v>817-545-1111</v>
      </c>
      <c r="J3" s="2">
        <v>43161</v>
      </c>
      <c r="O3" s="21"/>
      <c r="P3" s="22"/>
    </row>
    <row r="4" spans="1:19" x14ac:dyDescent="0.25">
      <c r="A4" s="1" t="s">
        <v>72</v>
      </c>
      <c r="B4" s="1" t="s">
        <v>75</v>
      </c>
      <c r="C4" s="1" t="str">
        <f>VLOOKUP('products sale'!B:B,products!$A$2:$B$3,2,0)</f>
        <v>IN001</v>
      </c>
      <c r="D4" s="3">
        <f>VLOOKUP(B:B,products!$A$2:$C$3,3,0)</f>
        <v>20</v>
      </c>
      <c r="E4" s="1">
        <v>2</v>
      </c>
      <c r="F4" s="3">
        <f t="shared" si="0"/>
        <v>40</v>
      </c>
      <c r="G4" s="1" t="s">
        <v>78</v>
      </c>
      <c r="H4" s="1" t="str">
        <f>VLOOKUP(G:G,customers!$A$2:$B$3,2,1)</f>
        <v>111 LILI DR</v>
      </c>
      <c r="I4" s="1" t="str">
        <f>VLOOKUP(G:G,customers!$A$2:$C$3,3,0)</f>
        <v>727-101-0101</v>
      </c>
      <c r="J4" s="2">
        <v>43185</v>
      </c>
      <c r="O4" s="23"/>
      <c r="P4" s="22"/>
    </row>
    <row r="5" spans="1:19" x14ac:dyDescent="0.25">
      <c r="A5" s="1" t="s">
        <v>73</v>
      </c>
      <c r="B5" s="1" t="s">
        <v>75</v>
      </c>
      <c r="C5" s="1" t="str">
        <f>VLOOKUP('products sale'!B:B,products!$A$2:$B$3,2,0)</f>
        <v>IN001</v>
      </c>
      <c r="D5" s="3">
        <f>VLOOKUP(B:B,products!$A$2:$C$3,3,0)</f>
        <v>20</v>
      </c>
      <c r="E5" s="1">
        <v>1</v>
      </c>
      <c r="F5" s="3">
        <f t="shared" si="0"/>
        <v>20</v>
      </c>
      <c r="G5" s="1" t="s">
        <v>82</v>
      </c>
      <c r="H5" s="1" t="str">
        <f>VLOOKUP(G:G,customers!$A$2:$B$3,2,1)</f>
        <v>221 GOOD WILL</v>
      </c>
      <c r="I5" s="1" t="str">
        <f>VLOOKUP(G:G,customers!$A$2:$C$3,3,0)</f>
        <v>817-545-1111</v>
      </c>
      <c r="J5" s="2">
        <v>43188</v>
      </c>
      <c r="O5" s="21"/>
      <c r="P5" s="22"/>
      <c r="S5" s="21"/>
    </row>
    <row r="6" spans="1:19" x14ac:dyDescent="0.25">
      <c r="A6" s="1" t="s">
        <v>74</v>
      </c>
      <c r="B6" s="1" t="s">
        <v>81</v>
      </c>
      <c r="C6" s="1" t="str">
        <f>VLOOKUP('products sale'!B:B,products!$A$2:$B$3,2,0)</f>
        <v>IN002</v>
      </c>
      <c r="D6" s="3">
        <f>VLOOKUP(B:B,products!$A$2:$C$3,3,0)</f>
        <v>15</v>
      </c>
      <c r="E6" s="1">
        <v>1</v>
      </c>
      <c r="F6" s="3">
        <f t="shared" si="0"/>
        <v>15</v>
      </c>
      <c r="G6" s="1" t="s">
        <v>82</v>
      </c>
      <c r="H6" s="1" t="str">
        <f>VLOOKUP(G:G,customers!$A$2:$B$3,2,1)</f>
        <v>221 GOOD WILL</v>
      </c>
      <c r="I6" s="1" t="str">
        <f>VLOOKUP(G:G,customers!$A$2:$C$3,3,0)</f>
        <v>817-545-1111</v>
      </c>
      <c r="J6" s="2">
        <v>43435</v>
      </c>
      <c r="O6" s="23"/>
      <c r="P6" s="22"/>
      <c r="S6" s="21"/>
    </row>
    <row r="7" spans="1:19" x14ac:dyDescent="0.25">
      <c r="A7" s="1" t="s">
        <v>86</v>
      </c>
      <c r="B7" s="1" t="s">
        <v>75</v>
      </c>
      <c r="C7" s="1" t="str">
        <f>VLOOKUP('products sale'!B:B,products!$A$2:$B$3,2,0)</f>
        <v>IN001</v>
      </c>
      <c r="D7" s="3">
        <f>VLOOKUP(B:B,products!$A$2:$C$3,3,0)</f>
        <v>20</v>
      </c>
      <c r="E7" s="1">
        <v>2</v>
      </c>
      <c r="F7" s="3">
        <f t="shared" si="0"/>
        <v>40</v>
      </c>
      <c r="G7" s="1" t="s">
        <v>87</v>
      </c>
      <c r="H7" s="1" t="str">
        <f>VLOOKUP(G:G,customers!$A$2:$B$3,2,1)</f>
        <v>111 LILI DR</v>
      </c>
      <c r="I7" s="1" t="str">
        <f>VLOOKUP(G:G,customers!$A$2:$C$3,3,0)</f>
        <v>727-101-0101</v>
      </c>
      <c r="J7" s="2">
        <v>43463</v>
      </c>
      <c r="O7" s="21"/>
      <c r="P7" s="22"/>
      <c r="S7" s="21"/>
    </row>
    <row r="8" spans="1:19" x14ac:dyDescent="0.25">
      <c r="A8" s="1" t="s">
        <v>88</v>
      </c>
      <c r="B8" s="1" t="s">
        <v>75</v>
      </c>
      <c r="C8" s="1" t="str">
        <f>VLOOKUP('products sale'!B:B,products!$A$2:$B$3,2,0)</f>
        <v>IN001</v>
      </c>
      <c r="D8" s="3">
        <f>VLOOKUP(B:B,products!$A$2:$C$3,3,0)</f>
        <v>20</v>
      </c>
      <c r="E8" s="1">
        <v>2</v>
      </c>
      <c r="F8" s="3">
        <f t="shared" si="0"/>
        <v>40</v>
      </c>
      <c r="G8" s="1" t="s">
        <v>87</v>
      </c>
      <c r="H8" s="1" t="str">
        <f>VLOOKUP(G:G,customers!$A$2:$B$3,2,1)</f>
        <v>111 LILI DR</v>
      </c>
      <c r="I8" s="1" t="str">
        <f>VLOOKUP(G:G,customers!$A$2:$C$3,3,0)</f>
        <v>727-101-0101</v>
      </c>
      <c r="J8" s="2">
        <v>43465</v>
      </c>
    </row>
    <row r="9" spans="1:19" x14ac:dyDescent="0.25">
      <c r="A9" s="1" t="s">
        <v>93</v>
      </c>
      <c r="B9" s="1" t="s">
        <v>75</v>
      </c>
      <c r="C9" s="1" t="str">
        <f>VLOOKUP('products sale'!B:B,products!$A$2:$B$3,2,0)</f>
        <v>IN001</v>
      </c>
      <c r="D9" s="3">
        <f>VLOOKUP(B:B,products!$A$2:$C$3,3,0)</f>
        <v>20</v>
      </c>
      <c r="E9" s="1">
        <v>2</v>
      </c>
      <c r="F9" s="3">
        <f t="shared" si="0"/>
        <v>40</v>
      </c>
      <c r="G9" s="1" t="s">
        <v>94</v>
      </c>
      <c r="H9" s="1" t="str">
        <f>VLOOKUP(G:G,customers!$A$2:$B$3,2,1)</f>
        <v>221 GOOD WILL</v>
      </c>
      <c r="I9" s="1" t="str">
        <f>VLOOKUP(G:G,customers!$A$2:$C$3,3,0)</f>
        <v>817-545-1111</v>
      </c>
      <c r="J9" s="2">
        <v>43463</v>
      </c>
    </row>
    <row r="10" spans="1:19" x14ac:dyDescent="0.25">
      <c r="D10" s="3"/>
      <c r="F10" s="3"/>
      <c r="J10" s="2"/>
    </row>
    <row r="11" spans="1:19" x14ac:dyDescent="0.25">
      <c r="D11" s="3"/>
      <c r="F11" s="3"/>
      <c r="J11" s="2"/>
    </row>
    <row r="12" spans="1:19" x14ac:dyDescent="0.25">
      <c r="D12" s="3"/>
      <c r="F12" s="3"/>
      <c r="J12" s="2"/>
    </row>
    <row r="13" spans="1:19" x14ac:dyDescent="0.25">
      <c r="D13" s="3"/>
      <c r="F13" s="3"/>
      <c r="J13" s="2"/>
    </row>
    <row r="14" spans="1:19" x14ac:dyDescent="0.25">
      <c r="D14" s="3"/>
      <c r="F14" s="3"/>
      <c r="J14"/>
    </row>
    <row r="15" spans="1:19" x14ac:dyDescent="0.25">
      <c r="D15" s="3"/>
      <c r="F15" s="3"/>
      <c r="J15"/>
    </row>
    <row r="16" spans="1:19" x14ac:dyDescent="0.25">
      <c r="D16" s="3"/>
      <c r="F16" s="3"/>
      <c r="J16"/>
    </row>
    <row r="17" spans="4:10" x14ac:dyDescent="0.25">
      <c r="D17" s="3"/>
      <c r="F17" s="3"/>
      <c r="J17"/>
    </row>
    <row r="18" spans="4:10" x14ac:dyDescent="0.25">
      <c r="D18" s="3"/>
      <c r="F18" s="3"/>
      <c r="J18"/>
    </row>
    <row r="19" spans="4:10" x14ac:dyDescent="0.25">
      <c r="D19" s="3"/>
      <c r="F19" s="3"/>
      <c r="J19"/>
    </row>
    <row r="20" spans="4:10" x14ac:dyDescent="0.25">
      <c r="D20" s="3"/>
      <c r="F20" s="3"/>
      <c r="J20"/>
    </row>
    <row r="21" spans="4:10" x14ac:dyDescent="0.25">
      <c r="D21" s="3"/>
      <c r="F21" s="3"/>
      <c r="H21"/>
      <c r="I21"/>
      <c r="J21"/>
    </row>
    <row r="22" spans="4:10" x14ac:dyDescent="0.25">
      <c r="D22" s="3"/>
      <c r="F22" s="3"/>
      <c r="H22"/>
      <c r="I22"/>
      <c r="J22"/>
    </row>
    <row r="23" spans="4:10" x14ac:dyDescent="0.25">
      <c r="D23" s="3"/>
      <c r="F23" s="3"/>
      <c r="H23"/>
      <c r="I23"/>
      <c r="J23"/>
    </row>
    <row r="24" spans="4:10" x14ac:dyDescent="0.25">
      <c r="D24" s="3"/>
      <c r="F24" s="3"/>
      <c r="H24"/>
      <c r="I24"/>
      <c r="J24"/>
    </row>
    <row r="25" spans="4:10" x14ac:dyDescent="0.25">
      <c r="D25" s="3"/>
      <c r="F25" s="3"/>
      <c r="H25"/>
      <c r="I25"/>
      <c r="J25"/>
    </row>
    <row r="26" spans="4:10" x14ac:dyDescent="0.25">
      <c r="D26" s="3"/>
      <c r="F26" s="3"/>
      <c r="H26"/>
      <c r="I26"/>
      <c r="J26"/>
    </row>
    <row r="27" spans="4:10" x14ac:dyDescent="0.25">
      <c r="D27" s="3"/>
      <c r="F27" s="3"/>
      <c r="H27"/>
      <c r="I27"/>
      <c r="J27"/>
    </row>
    <row r="28" spans="4:10" x14ac:dyDescent="0.25">
      <c r="D28" s="3"/>
      <c r="F28" s="3"/>
      <c r="H28"/>
      <c r="I28"/>
      <c r="J28"/>
    </row>
    <row r="29" spans="4:10" x14ac:dyDescent="0.25">
      <c r="D29" s="3"/>
      <c r="F29" s="3"/>
      <c r="H29"/>
      <c r="I29"/>
      <c r="J29"/>
    </row>
    <row r="30" spans="4:10" x14ac:dyDescent="0.25">
      <c r="D30" s="3"/>
      <c r="F30" s="3"/>
      <c r="H30"/>
      <c r="I30"/>
      <c r="J30"/>
    </row>
    <row r="31" spans="4:10" x14ac:dyDescent="0.25">
      <c r="D31" s="3"/>
      <c r="F31" s="3"/>
      <c r="H31"/>
      <c r="I31"/>
      <c r="J31"/>
    </row>
    <row r="32" spans="4:10" x14ac:dyDescent="0.25">
      <c r="D32" s="3"/>
      <c r="F32" s="3"/>
      <c r="H32"/>
      <c r="I32"/>
      <c r="J32"/>
    </row>
    <row r="33" spans="4:10" x14ac:dyDescent="0.25">
      <c r="D33" s="3"/>
      <c r="F33" s="3"/>
      <c r="H33"/>
      <c r="I33"/>
      <c r="J33"/>
    </row>
    <row r="34" spans="4:10" x14ac:dyDescent="0.25">
      <c r="D34" s="3"/>
      <c r="F34" s="3"/>
      <c r="H34"/>
      <c r="I34"/>
      <c r="J34"/>
    </row>
    <row r="35" spans="4:10" x14ac:dyDescent="0.25">
      <c r="D35" s="3"/>
      <c r="F35" s="3"/>
      <c r="H35"/>
      <c r="I35"/>
      <c r="J35"/>
    </row>
    <row r="36" spans="4:10" x14ac:dyDescent="0.25">
      <c r="D36" s="3"/>
      <c r="F36" s="3"/>
      <c r="H36"/>
      <c r="I36"/>
      <c r="J36"/>
    </row>
    <row r="37" spans="4:10" x14ac:dyDescent="0.25">
      <c r="D37" s="3"/>
      <c r="H37"/>
      <c r="I37"/>
      <c r="J37"/>
    </row>
    <row r="38" spans="4:10" x14ac:dyDescent="0.25">
      <c r="D38" s="3"/>
      <c r="H38"/>
      <c r="I38"/>
      <c r="J38"/>
    </row>
    <row r="39" spans="4:10" x14ac:dyDescent="0.25">
      <c r="D39" s="3"/>
      <c r="H39"/>
      <c r="I39"/>
      <c r="J39"/>
    </row>
    <row r="40" spans="4:10" x14ac:dyDescent="0.25">
      <c r="D40" s="3"/>
      <c r="H40"/>
      <c r="I40"/>
      <c r="J40"/>
    </row>
    <row r="41" spans="4:10" x14ac:dyDescent="0.25">
      <c r="H41"/>
      <c r="I41"/>
      <c r="J41"/>
    </row>
    <row r="42" spans="4:10" x14ac:dyDescent="0.25">
      <c r="H42"/>
      <c r="I42"/>
      <c r="J42"/>
    </row>
    <row r="43" spans="4:10" x14ac:dyDescent="0.25">
      <c r="H43"/>
      <c r="I43"/>
      <c r="J43"/>
    </row>
    <row r="44" spans="4:10" x14ac:dyDescent="0.25">
      <c r="H44"/>
      <c r="I44"/>
      <c r="J44"/>
    </row>
    <row r="45" spans="4:10" x14ac:dyDescent="0.25">
      <c r="H45"/>
      <c r="I45"/>
      <c r="J45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E2" sqref="E2"/>
    </sheetView>
  </sheetViews>
  <sheetFormatPr defaultRowHeight="15" x14ac:dyDescent="0.25"/>
  <cols>
    <col min="1" max="1" width="10.85546875" customWidth="1"/>
    <col min="2" max="2" width="13.85546875" customWidth="1"/>
    <col min="3" max="3" width="9.28515625" bestFit="1" customWidth="1"/>
  </cols>
  <sheetData>
    <row r="1" spans="1:3" x14ac:dyDescent="0.25">
      <c r="A1" t="s">
        <v>3</v>
      </c>
      <c r="B1" t="s">
        <v>69</v>
      </c>
      <c r="C1" t="s">
        <v>0</v>
      </c>
    </row>
    <row r="2" spans="1:3" x14ac:dyDescent="0.25">
      <c r="A2" s="1" t="s">
        <v>75</v>
      </c>
      <c r="B2" s="1" t="s">
        <v>76</v>
      </c>
      <c r="C2" s="3">
        <v>20</v>
      </c>
    </row>
    <row r="3" spans="1:3" x14ac:dyDescent="0.25">
      <c r="A3" s="1" t="s">
        <v>81</v>
      </c>
      <c r="B3" s="1" t="s">
        <v>77</v>
      </c>
      <c r="C3" s="3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selection activeCell="F5" sqref="F5"/>
    </sheetView>
  </sheetViews>
  <sheetFormatPr defaultRowHeight="15" x14ac:dyDescent="0.25"/>
  <cols>
    <col min="1" max="1" width="14.85546875" bestFit="1" customWidth="1"/>
    <col min="2" max="2" width="14.5703125" bestFit="1" customWidth="1"/>
    <col min="3" max="3" width="12.42578125" bestFit="1" customWidth="1"/>
  </cols>
  <sheetData>
    <row r="1" spans="1:3" x14ac:dyDescent="0.25">
      <c r="A1" s="1" t="s">
        <v>4</v>
      </c>
      <c r="B1" s="1" t="s">
        <v>5</v>
      </c>
      <c r="C1" s="1" t="s">
        <v>6</v>
      </c>
    </row>
    <row r="2" spans="1:3" x14ac:dyDescent="0.25">
      <c r="A2" s="1" t="s">
        <v>78</v>
      </c>
      <c r="B2" s="1" t="s">
        <v>79</v>
      </c>
      <c r="C2" s="1" t="s">
        <v>80</v>
      </c>
    </row>
    <row r="3" spans="1:3" x14ac:dyDescent="0.25">
      <c r="A3" s="1" t="s">
        <v>82</v>
      </c>
      <c r="B3" s="1" t="s">
        <v>83</v>
      </c>
      <c r="C3" s="1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C6"/>
  <sheetViews>
    <sheetView workbookViewId="0">
      <selection activeCell="E32" sqref="E32"/>
    </sheetView>
  </sheetViews>
  <sheetFormatPr defaultRowHeight="15" x14ac:dyDescent="0.25"/>
  <cols>
    <col min="1" max="1" width="13.140625" bestFit="1" customWidth="1"/>
    <col min="2" max="2" width="14.5703125" bestFit="1" customWidth="1"/>
    <col min="3" max="3" width="16.140625" bestFit="1" customWidth="1"/>
  </cols>
  <sheetData>
    <row r="3" spans="1:3" x14ac:dyDescent="0.25">
      <c r="A3" s="20" t="s">
        <v>89</v>
      </c>
      <c r="B3" t="s">
        <v>91</v>
      </c>
      <c r="C3" t="s">
        <v>92</v>
      </c>
    </row>
    <row r="4" spans="1:3" x14ac:dyDescent="0.25">
      <c r="A4" s="21" t="s">
        <v>81</v>
      </c>
      <c r="B4" s="22">
        <v>3</v>
      </c>
      <c r="C4" s="22">
        <v>45</v>
      </c>
    </row>
    <row r="5" spans="1:3" x14ac:dyDescent="0.25">
      <c r="A5" s="21" t="s">
        <v>75</v>
      </c>
      <c r="B5" s="22">
        <v>8</v>
      </c>
      <c r="C5" s="22">
        <v>160</v>
      </c>
    </row>
    <row r="6" spans="1:3" x14ac:dyDescent="0.25">
      <c r="A6" s="21" t="s">
        <v>90</v>
      </c>
      <c r="B6" s="22">
        <v>11</v>
      </c>
      <c r="C6" s="22">
        <v>205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22"/>
  <sheetViews>
    <sheetView topLeftCell="A4" workbookViewId="0">
      <selection activeCell="P11" sqref="P11"/>
    </sheetView>
  </sheetViews>
  <sheetFormatPr defaultRowHeight="15" x14ac:dyDescent="0.25"/>
  <cols>
    <col min="1" max="1" width="10.28515625" customWidth="1"/>
  </cols>
  <sheetData>
    <row r="1" spans="1:28" x14ac:dyDescent="0.25">
      <c r="A1" s="4"/>
      <c r="B1" s="5" t="s">
        <v>9</v>
      </c>
      <c r="P1" t="s">
        <v>21</v>
      </c>
      <c r="T1" t="s">
        <v>23</v>
      </c>
    </row>
    <row r="2" spans="1:28" x14ac:dyDescent="0.25">
      <c r="A2" s="6" t="s">
        <v>10</v>
      </c>
      <c r="B2" s="7">
        <v>500</v>
      </c>
      <c r="P2" t="s">
        <v>22</v>
      </c>
      <c r="T2" t="s">
        <v>24</v>
      </c>
      <c r="U2" t="s">
        <v>32</v>
      </c>
    </row>
    <row r="3" spans="1:28" x14ac:dyDescent="0.25">
      <c r="A3" s="6" t="s">
        <v>11</v>
      </c>
      <c r="B3" s="7">
        <v>550</v>
      </c>
      <c r="T3" t="s">
        <v>25</v>
      </c>
      <c r="U3" t="s">
        <v>33</v>
      </c>
      <c r="V3" t="s">
        <v>40</v>
      </c>
    </row>
    <row r="4" spans="1:28" ht="15.75" thickBot="1" x14ac:dyDescent="0.3">
      <c r="A4" s="8" t="s">
        <v>12</v>
      </c>
      <c r="B4" s="9">
        <v>650</v>
      </c>
      <c r="T4" t="s">
        <v>26</v>
      </c>
      <c r="U4" t="s">
        <v>34</v>
      </c>
      <c r="V4" t="s">
        <v>41</v>
      </c>
      <c r="W4" t="s">
        <v>47</v>
      </c>
    </row>
    <row r="5" spans="1:28" x14ac:dyDescent="0.25">
      <c r="P5" s="1" t="s">
        <v>19</v>
      </c>
      <c r="Q5" s="1">
        <v>90</v>
      </c>
      <c r="T5" t="s">
        <v>27</v>
      </c>
      <c r="U5" t="s">
        <v>35</v>
      </c>
      <c r="V5" t="s">
        <v>42</v>
      </c>
      <c r="W5" t="s">
        <v>48</v>
      </c>
      <c r="X5" t="s">
        <v>53</v>
      </c>
    </row>
    <row r="6" spans="1:28" x14ac:dyDescent="0.25">
      <c r="P6" s="1" t="s">
        <v>20</v>
      </c>
      <c r="Q6" s="1" t="s">
        <v>68</v>
      </c>
      <c r="T6" t="s">
        <v>28</v>
      </c>
      <c r="U6" t="s">
        <v>36</v>
      </c>
      <c r="V6" t="s">
        <v>43</v>
      </c>
      <c r="W6" t="s">
        <v>49</v>
      </c>
      <c r="X6" t="s">
        <v>54</v>
      </c>
      <c r="Y6" t="s">
        <v>58</v>
      </c>
    </row>
    <row r="7" spans="1:28" x14ac:dyDescent="0.25">
      <c r="T7" t="s">
        <v>29</v>
      </c>
      <c r="U7" t="s">
        <v>37</v>
      </c>
      <c r="V7" t="s">
        <v>44</v>
      </c>
      <c r="W7" t="s">
        <v>50</v>
      </c>
      <c r="X7" t="s">
        <v>55</v>
      </c>
      <c r="Y7" t="s">
        <v>59</v>
      </c>
      <c r="Z7" t="s">
        <v>62</v>
      </c>
    </row>
    <row r="8" spans="1:28" x14ac:dyDescent="0.25">
      <c r="T8" t="s">
        <v>30</v>
      </c>
      <c r="U8" t="s">
        <v>38</v>
      </c>
      <c r="V8" t="s">
        <v>45</v>
      </c>
      <c r="W8" t="s">
        <v>51</v>
      </c>
      <c r="X8" t="s">
        <v>56</v>
      </c>
      <c r="Y8" t="s">
        <v>60</v>
      </c>
      <c r="Z8" t="s">
        <v>63</v>
      </c>
      <c r="AA8" t="s">
        <v>65</v>
      </c>
    </row>
    <row r="9" spans="1:28" x14ac:dyDescent="0.25">
      <c r="T9" t="s">
        <v>31</v>
      </c>
      <c r="U9" t="s">
        <v>39</v>
      </c>
      <c r="V9" t="s">
        <v>46</v>
      </c>
      <c r="W9" t="s">
        <v>52</v>
      </c>
      <c r="X9" t="s">
        <v>57</v>
      </c>
      <c r="Y9" t="s">
        <v>61</v>
      </c>
      <c r="Z9" t="s">
        <v>64</v>
      </c>
      <c r="AA9" t="s">
        <v>66</v>
      </c>
      <c r="AB9" t="s">
        <v>67</v>
      </c>
    </row>
    <row r="18" spans="1:4" ht="15.75" thickBot="1" x14ac:dyDescent="0.3"/>
    <row r="19" spans="1:4" x14ac:dyDescent="0.25">
      <c r="A19" s="13"/>
      <c r="B19" s="18" t="s">
        <v>13</v>
      </c>
      <c r="C19" s="18" t="s">
        <v>14</v>
      </c>
      <c r="D19" s="15" t="s">
        <v>15</v>
      </c>
    </row>
    <row r="20" spans="1:4" x14ac:dyDescent="0.25">
      <c r="A20" s="11" t="s">
        <v>16</v>
      </c>
      <c r="B20" s="14">
        <v>350</v>
      </c>
      <c r="C20" s="14">
        <v>400</v>
      </c>
      <c r="D20" s="16">
        <v>325</v>
      </c>
    </row>
    <row r="21" spans="1:4" x14ac:dyDescent="0.25">
      <c r="A21" s="11" t="s">
        <v>17</v>
      </c>
      <c r="B21" s="14">
        <v>100</v>
      </c>
      <c r="C21" s="14">
        <v>100</v>
      </c>
      <c r="D21" s="16">
        <v>110</v>
      </c>
    </row>
    <row r="22" spans="1:4" ht="15.75" thickBot="1" x14ac:dyDescent="0.3">
      <c r="A22" s="12" t="s">
        <v>18</v>
      </c>
      <c r="B22" s="10">
        <v>500</v>
      </c>
      <c r="C22" s="10">
        <v>550</v>
      </c>
      <c r="D22" s="17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2_Click">
                <anchor moveWithCells="1" sizeWithCells="1"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 sale</vt:lpstr>
      <vt:lpstr>products</vt:lpstr>
      <vt:lpstr>customers</vt:lpstr>
      <vt:lpstr>charts</vt:lpstr>
      <vt:lpstr>practice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2019-05-29T16:42:55Z</dcterms:created>
  <dcterms:modified xsi:type="dcterms:W3CDTF">2019-05-31T00:31:36Z</dcterms:modified>
</cp:coreProperties>
</file>